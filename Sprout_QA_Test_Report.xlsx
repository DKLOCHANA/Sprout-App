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  <sheet name="Defec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<sst xmlns="http://schemas.openxmlformats.org/spreadsheetml/2006/main" count="227" uniqueCount="158">
  <si>
    <t xml:space="preserve">SPROUT APP — QA TEST EXECUTION REPORT</t>
  </si>
  <si>
    <t xml:space="preserve">Sprout Baby Tracker iOS App  |  Static Source-Code Analysis  |  April 2026</t>
  </si>
  <si>
    <t xml:space="preserve">Total Test Cases</t>
  </si>
  <si>
    <t xml:space="preserve">Passed ✅</t>
  </si>
  <si>
    <t xml:space="preserve">Failed ❌</t>
  </si>
  <si>
    <t xml:space="preserve">Pass Rate</t>
  </si>
  <si>
    <t xml:space="preserve">RESULTS BY CATEGORY</t>
  </si>
  <si>
    <t xml:space="preserve">Category</t>
  </si>
  <si>
    <t xml:space="preserve">Total</t>
  </si>
  <si>
    <t xml:space="preserve">Passed</t>
  </si>
  <si>
    <t xml:space="preserve">Failed</t>
  </si>
  <si>
    <t xml:space="preserve">App Launch &amp; Navigation</t>
  </si>
  <si>
    <t xml:space="preserve">Growth Tracking</t>
  </si>
  <si>
    <t xml:space="preserve">Milestones</t>
  </si>
  <si>
    <t xml:space="preserve">Memories</t>
  </si>
  <si>
    <t xml:space="preserve">Profile &amp; Settings</t>
  </si>
  <si>
    <t xml:space="preserve">Authentication</t>
  </si>
  <si>
    <t xml:space="preserve">Dashboard / Sleep</t>
  </si>
  <si>
    <t xml:space="preserve">Navigation</t>
  </si>
  <si>
    <t xml:space="preserve">TOTAL</t>
  </si>
  <si>
    <t xml:space="preserve">PASS</t>
  </si>
  <si>
    <t xml:space="preserve">All assertions satisfied based on source-code analysis</t>
  </si>
  <si>
    <t xml:space="preserve">FAIL</t>
  </si>
  <si>
    <t xml:space="preserve">Feature missing or assertion not satisfied</t>
  </si>
  <si>
    <t xml:space="preserve">SPROUT APP — COMPLETE TEST CASE RESULTS  (30 Cases)</t>
  </si>
  <si>
    <t xml:space="preserve">TC #</t>
  </si>
  <si>
    <t xml:space="preserve">Test Case Name</t>
  </si>
  <si>
    <t xml:space="preserve">Result</t>
  </si>
  <si>
    <t xml:space="preserve">Notes / Evidence</t>
  </si>
  <si>
    <t xml:space="preserve">Source File(s)</t>
  </si>
  <si>
    <t xml:space="preserve">TC-01</t>
  </si>
  <si>
    <t xml:space="preserve">App launch — splash screen renders</t>
  </si>
  <si>
    <t xml:space="preserve">EnhancedSplashScreen renders animated logo, tagline, and progress bar on cold launch</t>
  </si>
  <si>
    <t xml:space="preserve">EnhancedSplashScreen.tsx</t>
  </si>
  <si>
    <t xml:space="preserve">TC-02</t>
  </si>
  <si>
    <t xml:space="preserve">Splash → Dashboard transition</t>
  </si>
  <si>
    <t xml:space="preserve">Animated progress completes; AuthGate navigates to /(app) when user + baby data loaded</t>
  </si>
  <si>
    <t xml:space="preserve">AuthGate.tsx, SplashScreen.tsx</t>
  </si>
  <si>
    <t xml:space="preserve">TC-03</t>
  </si>
  <si>
    <t xml:space="preserve">Dashboard renders with baby data</t>
  </si>
  <si>
    <t xml:space="preserve">DashboardScreen shows AgeDisplay, UpNextCard, QuickActions, SleepChart for selected baby</t>
  </si>
  <si>
    <t xml:space="preserve">DashboardScreen.tsx</t>
  </si>
  <si>
    <t xml:space="preserve">TC-04</t>
  </si>
  <si>
    <t xml:space="preserve">Growth tab loads chart</t>
  </si>
  <si>
    <t xml:space="preserve">GrowthScreen renders GrowthChart with WHO/CDC percentile lines; MetricCards shown when data present</t>
  </si>
  <si>
    <t xml:space="preserve">GrowthScreen.tsx, GrowthChart.tsx</t>
  </si>
  <si>
    <t xml:space="preserve">TC-05</t>
  </si>
  <si>
    <t xml:space="preserve">Growth entry modal opens</t>
  </si>
  <si>
    <t xml:space="preserve">Tapping 'New Entry' sets modalVisible=true; GrowthEntryModal slides up</t>
  </si>
  <si>
    <t xml:space="preserve">GrowthScreen.tsx, GrowthEntryModal.tsx</t>
  </si>
  <si>
    <t xml:space="preserve">TC-06</t>
  </si>
  <si>
    <t xml:space="preserve">Growth form validation — empty fields</t>
  </si>
  <si>
    <t xml:space="preserve">Save disabled (isValid = weight||height||headCirc); at least one field required</t>
  </si>
  <si>
    <t xml:space="preserve">GrowthEntryModal.tsx</t>
  </si>
  <si>
    <t xml:space="preserve">TC-07</t>
  </si>
  <si>
    <t xml:space="preserve">Save growth entry + percentile display</t>
  </si>
  <si>
    <t xml:space="preserve">addGrowthEntry to babyStore + Firestore sync; percentile badge updates via useGrowthAnalysis</t>
  </si>
  <si>
    <t xml:space="preserve">GrowthScreen.tsx, babyStore.ts</t>
  </si>
  <si>
    <t xml:space="preserve">TC-08</t>
  </si>
  <si>
    <t xml:space="preserve">Percentile warning for extreme values</t>
  </si>
  <si>
    <t xml:space="preserve">alertDetection.ts triggers AlertBanner when weight/height outside normal range; displayed above chart</t>
  </si>
  <si>
    <t xml:space="preserve">AlertBanner.tsx, alertDetection.ts</t>
  </si>
  <si>
    <t xml:space="preserve">TC-09</t>
  </si>
  <si>
    <t xml:space="preserve">Milestones tab loads</t>
  </si>
  <si>
    <t xml:space="preserve">MilestoneExplorerScreen renders title, CategoryTabs, AgeFilterDropdown, and milestone list</t>
  </si>
  <si>
    <t xml:space="preserve">MilestoneExplorerScreen.tsx</t>
  </si>
  <si>
    <t xml:space="preserve">TC-10</t>
  </si>
  <si>
    <t xml:space="preserve">Motor category filter</t>
  </si>
  <si>
    <t xml:space="preserve">Tapping Motor tab sets selectedCategory='Motor'; useMilestones filters cdc-milestones.json accordingly</t>
  </si>
  <si>
    <t xml:space="preserve">MilestoneExplorerScreen.tsx, useMilestones.ts</t>
  </si>
  <si>
    <t xml:space="preserve">TC-11</t>
  </si>
  <si>
    <t xml:space="preserve">Cognitive category filter</t>
  </si>
  <si>
    <t xml:space="preserve">Tapping Cognitive sets selectedCategory='Cognitive'; list updates to cognition milestones</t>
  </si>
  <si>
    <t xml:space="preserve">TC-12</t>
  </si>
  <si>
    <t xml:space="preserve">Language category filter</t>
  </si>
  <si>
    <t xml:space="preserve">Tapping Language sets selectedCategory='Language'; list updates to language milestones</t>
  </si>
  <si>
    <t xml:space="preserve">TC-13</t>
  </si>
  <si>
    <t xml:space="preserve">Age filter (current / past / upcoming / all)</t>
  </si>
  <si>
    <t xml:space="preserve">AgeFilterDropdown options map to 'current','past','upcoming','all'; filteredMilestones computed by ageRangeMonths</t>
  </si>
  <si>
    <t xml:space="preserve">AgeFilterDropdown.tsx, useMilestones.ts</t>
  </si>
  <si>
    <t xml:space="preserve">TC-14</t>
  </si>
  <si>
    <t xml:space="preserve">3-state milestone tracking UI</t>
  </si>
  <si>
    <t xml:space="preserve">MilestoneCard has StatusButton for not_yet, in_progress, achieved; active state highlighted correctly</t>
  </si>
  <si>
    <t xml:space="preserve">MilestoneCard.tsx</t>
  </si>
  <si>
    <t xml:space="preserve">TC-15</t>
  </si>
  <si>
    <t xml:space="preserve">Onboarding legend modal on first visit</t>
  </si>
  <si>
    <t xml:space="preserve">useEffect checks !hasSeenLegend → setIsLegendVisible(true); MilestoneLegendModal shown; dismissed flag persists</t>
  </si>
  <si>
    <t xml:space="preserve">MilestoneExplorerScreen.tsx, MilestoneLegendModal.tsx</t>
  </si>
  <si>
    <t xml:space="preserve">TC-16</t>
  </si>
  <si>
    <t xml:space="preserve">Freemium paywall gate — achieved limit</t>
  </si>
  <si>
    <t xml:space="preserve">setMilestoneStatus: when status==='achieved', checkCanAchieveMilestone() called; returns false → update blocked</t>
  </si>
  <si>
    <t xml:space="preserve">useMilestones.ts, useSubscription.ts</t>
  </si>
  <si>
    <t xml:space="preserve">TC-17</t>
  </si>
  <si>
    <t xml:space="preserve">Memories tab — gallery display</t>
  </si>
  <si>
    <t xml:space="preserve">MemoriesScreen renders 'Memory Lane' title, ScrollView with MemoryCard timeline; EmptyMemories shown when no entries; FAB present</t>
  </si>
  <si>
    <t xml:space="preserve">MemoriesScreen.tsx, MemoryCard.tsx</t>
  </si>
  <si>
    <t xml:space="preserve">TC-18</t>
  </si>
  <si>
    <t xml:space="preserve">Memories tab — add photo flow</t>
  </si>
  <si>
    <t xml:space="preserve">FAB/EmptyMemories → AddMemoryModal; photo options via Alert (Take Photo/Library); camera+library permissions requested; title+description validated (required); iOS/Android date pickers; form resets on close</t>
  </si>
  <si>
    <t xml:space="preserve">AddMemoryModal.tsx</t>
  </si>
  <si>
    <t xml:space="preserve">TC-19</t>
  </si>
  <si>
    <t xml:space="preserve">Profile screen loads with all sections</t>
  </si>
  <si>
    <t xml:space="preserve">ProfileScreen renders ProfileHeader, PediatricianReportCard, SubscriptionCard, Family Management row, Privacy Policy, Terms of Service, Sign Out button, Delete Account button</t>
  </si>
  <si>
    <t xml:space="preserve">ProfileScreen.tsx, useProfileViewModel.ts</t>
  </si>
  <si>
    <t xml:space="preserve">TC-20</t>
  </si>
  <si>
    <t xml:space="preserve">Edit baby profile</t>
  </si>
  <si>
    <t xml:space="preserve">EditBabyScreen: name, photo, DOB, biological sex toggle, premature switch; handleSubmit validates + saves; back button navigates away</t>
  </si>
  <si>
    <t xml:space="preserve">EditBabyScreen.tsx, useEditBabyViewModel.ts</t>
  </si>
  <si>
    <t xml:space="preserve">TC-21</t>
  </si>
  <si>
    <t xml:space="preserve">Family management screen</t>
  </si>
  <si>
    <t xml:space="preserve">FamilyManagementScreen lists all babies with select/edit/delete; delete confirmation modal; 'Add Another Child' dashed button navigates to add-baby</t>
  </si>
  <si>
    <t xml:space="preserve">FamilyManagementScreen.tsx, useFamilyManagement.ts</t>
  </si>
  <si>
    <t xml:space="preserve">TC-22</t>
  </si>
  <si>
    <t xml:space="preserve">Units toggle (imperial / metric)</t>
  </si>
  <si>
    <t xml:space="preserve">FEATURE NOT IMPLEMENTED: GrowthEntryModal hardcodes KG/CM labels; GrowthScreen MetricCards hardcode kg/cm; no units toggle found anywhere in Profile/Settings</t>
  </si>
  <si>
    <t xml:space="preserve">GrowthEntryModal.tsx, GrowthScreen.tsx, ProfileScreen.tsx</t>
  </si>
  <si>
    <t xml:space="preserve">TC-23</t>
  </si>
  <si>
    <t xml:space="preserve">Logout flow + return to auth</t>
  </si>
  <si>
    <t xml:space="preserve">handleSignOut: Alert confirm → resetBabyStore → resetMilestoneStore → revenueCatService.clearUserId() → signOut() → clearUser(); AuthGate onAuthStateChanged detects sign-out → routes to /(onboarding)</t>
  </si>
  <si>
    <t xml:space="preserve">useProfileViewModel.ts, AuthGate.tsx, authStore.ts</t>
  </si>
  <si>
    <t xml:space="preserve">TC-24</t>
  </si>
  <si>
    <t xml:space="preserve">Login form validation</t>
  </si>
  <si>
    <t xml:space="preserve">Empty email → 'Please enter your email'; empty password → 'Please enter your password'; Firebase errors shown in red error box; loading state on Sign In button</t>
  </si>
  <si>
    <t xml:space="preserve">useLoginViewModel.ts, LoginScreen.tsx</t>
  </si>
  <si>
    <t xml:space="preserve">TC-25</t>
  </si>
  <si>
    <t xml:space="preserve">Register form validation</t>
  </si>
  <si>
    <t xml:space="preserve">Zod schema: name≥2 chars, valid email, password≥6 chars, passwords match; fieldError highlights specific field; error displayed in red box</t>
  </si>
  <si>
    <t xml:space="preserve">auth.schemas.ts, useRegisterViewModel.ts, RegisterScreen.tsx</t>
  </si>
  <si>
    <t xml:space="preserve">TC-26</t>
  </si>
  <si>
    <t xml:space="preserve">Apple Sign In button present and functional</t>
  </si>
  <si>
    <t xml:space="preserve">AppleSignInButton rendered on Login + Register screens; handleAppleSignIn in both VMs; cancellation handled gracefully (no error shown); creates Firestore user doc + sets RevenueCat userId</t>
  </si>
  <si>
    <t xml:space="preserve">AppleSignInButton.tsx, useLoginViewModel.ts, useRegisterViewModel.ts</t>
  </si>
  <si>
    <t xml:space="preserve">TC-27</t>
  </si>
  <si>
    <t xml:space="preserve">Dashboard — Log Sleep modal flow</t>
  </si>
  <si>
    <t xml:space="preserve">SleepChart onLogSleep → setSleepModalVisible(true); LogSleepModal: date picker, hour (0-18) + minute (0/15/30/45) spinner, existing entry pre-loaded; addSleepEntry to sleepStore on save; resets to today on open</t>
  </si>
  <si>
    <t xml:space="preserve">DashboardScreen.tsx, LogSleepModal.tsx, useSleep.ts</t>
  </si>
  <si>
    <t xml:space="preserve">TC-28</t>
  </si>
  <si>
    <t xml:space="preserve">Back button navigation</t>
  </si>
  <si>
    <t xml:space="preserve">FamilyManagementScreen Pressable calls router.back(); EditBabyScreen header back button calls handleCancel → router.back; standard Expo Router stack navigation</t>
  </si>
  <si>
    <t xml:space="preserve">FamilyManagementScreen.tsx, EditBabyScreen.tsx</t>
  </si>
  <si>
    <t xml:space="preserve">TC-29</t>
  </si>
  <si>
    <t xml:space="preserve">Tab state persistence on tab switch</t>
  </si>
  <si>
    <t xml:space="preserve">Expo Router Tabs (React Navigation) maintains per-tab scroll/stack state; 5 tabs: HOME, GROWTH, MILESTONES, MEMORIES, PROFILE configured in _layout.tsx</t>
  </si>
  <si>
    <t xml:space="preserve">app/(app)/_layout.tsx</t>
  </si>
  <si>
    <t xml:space="preserve">TC-30</t>
  </si>
  <si>
    <t xml:space="preserve">Milestone Not yet → In progress (no paywall)</t>
  </si>
  <si>
    <t xml:space="preserve">setMilestoneStatus: paywall check (checkCanAchieveMilestone) only invoked when status==='achieved'; for not_yet→in_progress transition, updateMilestoneStatus called directly with no paywall gate</t>
  </si>
  <si>
    <t xml:space="preserve">useMilestones.ts</t>
  </si>
  <si>
    <t xml:space="preserve">TOTALS</t>
  </si>
  <si>
    <t xml:space="preserve">SPROUT APP — DEFECT LOG</t>
  </si>
  <si>
    <t xml:space="preserve">Test Case</t>
  </si>
  <si>
    <t xml:space="preserve">Severity</t>
  </si>
  <si>
    <t xml:space="preserve">Priority</t>
  </si>
  <si>
    <t xml:space="preserve">Description</t>
  </si>
  <si>
    <t xml:space="preserve">Recommendation</t>
  </si>
  <si>
    <t xml:space="preserve">Medium</t>
  </si>
  <si>
    <t xml:space="preserve">The app does not implement a measurement units toggle. GrowthEntryModal hardcodes KG and CM labels with no option to switch to lbs/in. MetricCards on GrowthScreen also hardcode metric units. No units preference setting exists in Profile/Settings.</t>
  </si>
  <si>
    <t xml:space="preserve">Implement a units preference (metric/imperial) in Profile settings. Store preference in AsyncStorage/Zustand. Convert display values in GrowthEntryModal and MetricCards. Consider using a shared useUnits() hook.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</si>
</sst>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4F72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E86C1"/>
      <name val="Arial"/>
      <family val="0"/>
      <charset val="1"/>
    </font>
    <font>
      <b val="true"/>
      <sz val="14"/>
      <color rgb="FF28A745"/>
      <name val="Arial"/>
      <family val="0"/>
      <charset val="1"/>
    </font>
    <font>
      <b val="true"/>
      <sz val="14"/>
      <color rgb="FFDC3545"/>
      <name val="Arial"/>
      <family val="0"/>
      <charset val="1"/>
    </font>
    <font>
      <b val="true"/>
      <sz val="14"/>
      <color rgb="FF8E44A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9"/>
      <color rgb="FF1E7E34"/>
      <name val="Arial"/>
      <family val="0"/>
      <charset val="1"/>
    </font>
    <font>
      <sz val="9"/>
      <color rgb="FF212121"/>
      <name val="Arial"/>
      <family val="0"/>
      <charset val="1"/>
    </font>
    <font>
      <b val="true"/>
      <sz val="9"/>
      <color rgb="FFC5221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0"/>
      <color rgb="FF1E7E34"/>
      <name val="Arial"/>
      <family val="0"/>
      <charset val="1"/>
    </font>
    <font>
      <b val="true"/>
      <sz val="10"/>
      <color rgb="FFC5221F"/>
      <name val="Arial"/>
      <family val="0"/>
      <charset val="1"/>
    </font>
    <font>
      <sz val="9"/>
      <color rgb="FFC5221F"/>
      <name val="Arial"/>
      <family val="0"/>
      <charset val="1"/>
    </font>
    <font>
      <b val="true"/>
      <sz val="9"/>
      <color rgb="FF21212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BF5FB"/>
        <bgColor rgb="FFE6F4EA"/>
      </patternFill>
    </fill>
    <fill>
      <patternFill patternType="solid">
        <fgColor rgb="FF2E86C1"/>
        <bgColor rgb="FF008080"/>
      </patternFill>
    </fill>
    <fill>
      <patternFill patternType="solid">
        <fgColor rgb="FF28A745"/>
        <bgColor rgb="FF1E7E34"/>
      </patternFill>
    </fill>
    <fill>
      <patternFill patternType="solid">
        <fgColor rgb="FFDC3545"/>
        <bgColor rgb="FFC5221F"/>
      </patternFill>
    </fill>
    <fill>
      <patternFill patternType="solid">
        <fgColor rgb="FF8E44AD"/>
        <bgColor rgb="FF555555"/>
      </patternFill>
    </fill>
    <fill>
      <patternFill patternType="solid">
        <fgColor rgb="FF1B4F72"/>
        <bgColor rgb="FF333399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EBF5FB"/>
      </patternFill>
    </fill>
    <fill>
      <patternFill patternType="solid">
        <fgColor rgb="FFE6F4EA"/>
        <bgColor rgb="FFEBF5FB"/>
      </patternFill>
    </fill>
    <fill>
      <patternFill patternType="solid">
        <fgColor rgb="FFFCE8E6"/>
        <bgColor rgb="FFE6F4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9DA5AE"/>
      </left>
      <right/>
      <top style="medium">
        <color rgb="FF9DA5AE"/>
      </top>
      <bottom style="medium">
        <color rgb="FF9DA5AE"/>
      </bottom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DC3C7"/>
      <rgbColor rgb="FF7F8C8D"/>
      <rgbColor rgb="FF9999FF"/>
      <rgbColor rgb="FF8E44AD"/>
      <rgbColor rgb="FFF5F9FF"/>
      <rgbColor rgb="FFE6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CE8E6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555555"/>
      <rgbColor rgb="FF9DA5AE"/>
      <rgbColor rgb="FF1B4F72"/>
      <rgbColor rgb="FF28A745"/>
      <rgbColor rgb="FF003300"/>
      <rgbColor rgb="FF333300"/>
      <rgbColor rgb="FFC5221F"/>
      <rgbColor rgb="FFDC3545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7" min="7" style="1" width="4"/>
  </cols>
  <sheetData>
    <row r="1" customFormat="false" ht="12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</row>
    <row r="3" customFormat="false" ht="12" hidden="false" customHeight="true" outlineLevel="0" collapsed="false"/>
    <row r="4" customFormat="false" ht="13.5" hidden="false" customHeight="true" outlineLevel="0" collapsed="false">
      <c r="B4" s="3" t="s">
        <v>1</v>
      </c>
      <c r="C4" s="3"/>
      <c r="D4" s="3"/>
      <c r="E4" s="3"/>
      <c r="F4" s="3"/>
    </row>
    <row r="6" customFormat="false" ht="30" hidden="false" customHeight="true" outlineLevel="0" collapsed="false">
      <c r="B6" s="4" t="s">
        <v>2</v>
      </c>
      <c r="C6" s="4"/>
      <c r="D6" s="5" t="n">
        <f aca="false">'Test Cases'!B33</f>
        <v>30</v>
      </c>
      <c r="E6" s="5"/>
      <c r="F6" s="5"/>
    </row>
    <row r="8" customFormat="false" ht="30" hidden="false" customHeight="true" outlineLevel="0" collapsed="false">
      <c r="B8" s="6" t="s">
        <v>3</v>
      </c>
      <c r="C8" s="6"/>
      <c r="D8" s="7" t="n">
        <f aca="false">'Test Cases'!C33</f>
        <v>29</v>
      </c>
      <c r="E8" s="7"/>
      <c r="F8" s="7"/>
    </row>
    <row r="10" customFormat="false" ht="30" hidden="false" customHeight="true" outlineLevel="0" collapsed="false">
      <c r="B10" s="8" t="s">
        <v>4</v>
      </c>
      <c r="C10" s="8"/>
      <c r="D10" s="9" t="n">
        <f aca="false">'Test Cases'!D33</f>
        <v>1</v>
      </c>
      <c r="E10" s="9"/>
      <c r="F10" s="9"/>
    </row>
    <row r="12" customFormat="false" ht="30" hidden="false" customHeight="true" outlineLevel="0" collapsed="false">
      <c r="B12" s="10" t="s">
        <v>5</v>
      </c>
      <c r="C12" s="10"/>
      <c r="D12" s="11" t="n">
        <f aca="false">'Test Cases'!E33</f>
        <v>0.966666666666667</v>
      </c>
      <c r="E12" s="11"/>
      <c r="F12" s="11"/>
    </row>
    <row r="14" customFormat="false" ht="7.5" hidden="false" customHeight="true" outlineLevel="0" collapsed="false"/>
    <row r="15" customFormat="false" ht="19.5" hidden="false" customHeight="true" outlineLevel="0" collapsed="false">
      <c r="B15" s="12" t="s">
        <v>6</v>
      </c>
      <c r="C15" s="12"/>
      <c r="D15" s="12"/>
      <c r="E15" s="12"/>
      <c r="F15" s="12"/>
    </row>
    <row r="16" customFormat="false" ht="19.5" hidden="false" customHeight="true" outlineLevel="0" collapsed="false">
      <c r="B16" s="13" t="s">
        <v>7</v>
      </c>
      <c r="C16" s="13" t="s">
        <v>8</v>
      </c>
      <c r="D16" s="13" t="s">
        <v>9</v>
      </c>
      <c r="E16" s="13" t="s">
        <v>10</v>
      </c>
    </row>
    <row r="17" customFormat="false" ht="18" hidden="false" customHeight="true" outlineLevel="0" collapsed="false">
      <c r="B17" s="14" t="s">
        <v>11</v>
      </c>
      <c r="C17" s="15" t="n">
        <v>5</v>
      </c>
      <c r="D17" s="15" t="n">
        <v>5</v>
      </c>
      <c r="E17" s="15" t="n">
        <v>0</v>
      </c>
    </row>
    <row r="18" customFormat="false" ht="18" hidden="false" customHeight="true" outlineLevel="0" collapsed="false">
      <c r="B18" s="16" t="s">
        <v>12</v>
      </c>
      <c r="C18" s="17" t="n">
        <v>4</v>
      </c>
      <c r="D18" s="17" t="n">
        <v>4</v>
      </c>
      <c r="E18" s="17" t="n">
        <v>0</v>
      </c>
    </row>
    <row r="19" customFormat="false" ht="18" hidden="false" customHeight="true" outlineLevel="0" collapsed="false">
      <c r="B19" s="14" t="s">
        <v>13</v>
      </c>
      <c r="C19" s="15" t="n">
        <v>6</v>
      </c>
      <c r="D19" s="15" t="n">
        <v>6</v>
      </c>
      <c r="E19" s="15" t="n">
        <v>0</v>
      </c>
    </row>
    <row r="20" customFormat="false" ht="18" hidden="false" customHeight="true" outlineLevel="0" collapsed="false">
      <c r="B20" s="16" t="s">
        <v>14</v>
      </c>
      <c r="C20" s="17" t="n">
        <v>2</v>
      </c>
      <c r="D20" s="17" t="n">
        <v>2</v>
      </c>
      <c r="E20" s="17" t="n">
        <v>0</v>
      </c>
    </row>
    <row r="21" customFormat="false" ht="18" hidden="false" customHeight="true" outlineLevel="0" collapsed="false">
      <c r="B21" s="14" t="s">
        <v>15</v>
      </c>
      <c r="C21" s="15" t="n">
        <v>4</v>
      </c>
      <c r="D21" s="15" t="n">
        <v>3</v>
      </c>
      <c r="E21" s="15" t="n">
        <v>1</v>
      </c>
    </row>
    <row r="22" customFormat="false" ht="18" hidden="false" customHeight="true" outlineLevel="0" collapsed="false">
      <c r="B22" s="16" t="s">
        <v>16</v>
      </c>
      <c r="C22" s="17" t="n">
        <v>4</v>
      </c>
      <c r="D22" s="17" t="n">
        <v>4</v>
      </c>
      <c r="E22" s="17" t="n">
        <v>0</v>
      </c>
    </row>
    <row r="23" customFormat="false" ht="18" hidden="false" customHeight="true" outlineLevel="0" collapsed="false">
      <c r="B23" s="14" t="s">
        <v>17</v>
      </c>
      <c r="C23" s="15" t="n">
        <v>2</v>
      </c>
      <c r="D23" s="15" t="n">
        <v>2</v>
      </c>
      <c r="E23" s="15" t="n">
        <v>0</v>
      </c>
    </row>
    <row r="24" customFormat="false" ht="18" hidden="false" customHeight="true" outlineLevel="0" collapsed="false">
      <c r="B24" s="16" t="s">
        <v>18</v>
      </c>
      <c r="C24" s="17" t="n">
        <v>3</v>
      </c>
      <c r="D24" s="17" t="n">
        <v>3</v>
      </c>
      <c r="E24" s="17" t="n">
        <v>0</v>
      </c>
    </row>
    <row r="25" customFormat="false" ht="19.5" hidden="false" customHeight="true" outlineLevel="0" collapsed="false">
      <c r="B25" s="18" t="s">
        <v>19</v>
      </c>
      <c r="C25" s="18" t="n">
        <f aca="false">SUM(C17:C24)</f>
        <v>30</v>
      </c>
      <c r="D25" s="18" t="n">
        <f aca="false">SUM(D17:D24)</f>
        <v>29</v>
      </c>
      <c r="E25" s="18" t="n">
        <f aca="false">SUM(E17:E24)</f>
        <v>1</v>
      </c>
    </row>
    <row r="27" customFormat="false" ht="18" hidden="false" customHeight="true" outlineLevel="0" collapsed="false">
      <c r="B27" s="19" t="s">
        <v>20</v>
      </c>
      <c r="C27" s="20" t="s">
        <v>21</v>
      </c>
      <c r="D27" s="20"/>
      <c r="E27" s="20"/>
      <c r="F27" s="20"/>
    </row>
    <row r="28" customFormat="false" ht="18" hidden="false" customHeight="true" outlineLevel="0" collapsed="false">
      <c r="B28" s="21" t="s">
        <v>22</v>
      </c>
      <c r="C28" s="20" t="s">
        <v>23</v>
      </c>
      <c r="D28" s="20"/>
      <c r="E28" s="20"/>
      <c r="F28" s="20"/>
    </row>
  </sheetData>
  <mergeCells count="13">
    <mergeCell ref="B2:F2"/>
    <mergeCell ref="B4:F4"/>
    <mergeCell ref="B6:C6"/>
    <mergeCell ref="D6:F6"/>
    <mergeCell ref="B8:C8"/>
    <mergeCell ref="D8:F8"/>
    <mergeCell ref="B10:C10"/>
    <mergeCell ref="D10:F10"/>
    <mergeCell ref="B12:C12"/>
    <mergeCell ref="D12:F12"/>
    <mergeCell ref="B15:F15"/>
    <mergeCell ref="C27:F27"/>
    <mergeCell ref="C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48"/>
    <col collapsed="false" customWidth="true" hidden="false" outlineLevel="0" max="6" min="6" style="1" width="22"/>
  </cols>
  <sheetData>
    <row r="1" customFormat="false" ht="37.5" hidden="false" customHeight="true" outlineLevel="0" collapsed="false">
      <c r="A1" s="22" t="s">
        <v>24</v>
      </c>
      <c r="B1" s="22"/>
      <c r="C1" s="22"/>
      <c r="D1" s="22"/>
      <c r="E1" s="22"/>
      <c r="F1" s="22"/>
    </row>
    <row r="2" customFormat="false" ht="21.75" hidden="false" customHeight="true" outlineLevel="0" collapsed="false">
      <c r="A2" s="13" t="s">
        <v>25</v>
      </c>
      <c r="B2" s="13" t="s">
        <v>26</v>
      </c>
      <c r="C2" s="13" t="s">
        <v>7</v>
      </c>
      <c r="D2" s="13" t="s">
        <v>27</v>
      </c>
      <c r="E2" s="13" t="s">
        <v>28</v>
      </c>
      <c r="F2" s="13" t="s">
        <v>29</v>
      </c>
    </row>
    <row r="3" customFormat="false" ht="39.75" hidden="false" customHeight="true" outlineLevel="0" collapsed="false">
      <c r="A3" s="23" t="s">
        <v>30</v>
      </c>
      <c r="B3" s="24" t="s">
        <v>31</v>
      </c>
      <c r="C3" s="24" t="s">
        <v>11</v>
      </c>
      <c r="D3" s="25" t="s">
        <v>20</v>
      </c>
      <c r="E3" s="24" t="s">
        <v>32</v>
      </c>
      <c r="F3" s="24" t="s">
        <v>33</v>
      </c>
    </row>
    <row r="4" customFormat="false" ht="39.75" hidden="false" customHeight="true" outlineLevel="0" collapsed="false">
      <c r="A4" s="26" t="s">
        <v>34</v>
      </c>
      <c r="B4" s="27" t="s">
        <v>35</v>
      </c>
      <c r="C4" s="27" t="s">
        <v>11</v>
      </c>
      <c r="D4" s="25" t="s">
        <v>20</v>
      </c>
      <c r="E4" s="27" t="s">
        <v>36</v>
      </c>
      <c r="F4" s="27" t="s">
        <v>37</v>
      </c>
    </row>
    <row r="5" customFormat="false" ht="39.75" hidden="false" customHeight="true" outlineLevel="0" collapsed="false">
      <c r="A5" s="23" t="s">
        <v>38</v>
      </c>
      <c r="B5" s="24" t="s">
        <v>39</v>
      </c>
      <c r="C5" s="24" t="s">
        <v>11</v>
      </c>
      <c r="D5" s="25" t="s">
        <v>20</v>
      </c>
      <c r="E5" s="24" t="s">
        <v>40</v>
      </c>
      <c r="F5" s="24" t="s">
        <v>41</v>
      </c>
    </row>
    <row r="6" customFormat="false" ht="39.75" hidden="false" customHeight="true" outlineLevel="0" collapsed="false">
      <c r="A6" s="26" t="s">
        <v>42</v>
      </c>
      <c r="B6" s="27" t="s">
        <v>43</v>
      </c>
      <c r="C6" s="27" t="s">
        <v>12</v>
      </c>
      <c r="D6" s="25" t="s">
        <v>20</v>
      </c>
      <c r="E6" s="27" t="s">
        <v>44</v>
      </c>
      <c r="F6" s="27" t="s">
        <v>45</v>
      </c>
    </row>
    <row r="7" customFormat="false" ht="39.75" hidden="false" customHeight="true" outlineLevel="0" collapsed="false">
      <c r="A7" s="23" t="s">
        <v>46</v>
      </c>
      <c r="B7" s="24" t="s">
        <v>47</v>
      </c>
      <c r="C7" s="24" t="s">
        <v>12</v>
      </c>
      <c r="D7" s="25" t="s">
        <v>20</v>
      </c>
      <c r="E7" s="24" t="s">
        <v>48</v>
      </c>
      <c r="F7" s="24" t="s">
        <v>49</v>
      </c>
    </row>
    <row r="8" customFormat="false" ht="39.75" hidden="false" customHeight="true" outlineLevel="0" collapsed="false">
      <c r="A8" s="26" t="s">
        <v>50</v>
      </c>
      <c r="B8" s="27" t="s">
        <v>51</v>
      </c>
      <c r="C8" s="27" t="s">
        <v>12</v>
      </c>
      <c r="D8" s="25" t="s">
        <v>20</v>
      </c>
      <c r="E8" s="27" t="s">
        <v>52</v>
      </c>
      <c r="F8" s="27" t="s">
        <v>53</v>
      </c>
    </row>
    <row r="9" customFormat="false" ht="39.75" hidden="false" customHeight="true" outlineLevel="0" collapsed="false">
      <c r="A9" s="23" t="s">
        <v>54</v>
      </c>
      <c r="B9" s="24" t="s">
        <v>55</v>
      </c>
      <c r="C9" s="24" t="s">
        <v>12</v>
      </c>
      <c r="D9" s="25" t="s">
        <v>20</v>
      </c>
      <c r="E9" s="24" t="s">
        <v>56</v>
      </c>
      <c r="F9" s="24" t="s">
        <v>57</v>
      </c>
    </row>
    <row r="10" customFormat="false" ht="39.75" hidden="false" customHeight="true" outlineLevel="0" collapsed="false">
      <c r="A10" s="26" t="s">
        <v>58</v>
      </c>
      <c r="B10" s="27" t="s">
        <v>59</v>
      </c>
      <c r="C10" s="27" t="s">
        <v>12</v>
      </c>
      <c r="D10" s="25" t="s">
        <v>20</v>
      </c>
      <c r="E10" s="27" t="s">
        <v>60</v>
      </c>
      <c r="F10" s="27" t="s">
        <v>61</v>
      </c>
    </row>
    <row r="11" customFormat="false" ht="39.75" hidden="false" customHeight="true" outlineLevel="0" collapsed="false">
      <c r="A11" s="23" t="s">
        <v>62</v>
      </c>
      <c r="B11" s="24" t="s">
        <v>63</v>
      </c>
      <c r="C11" s="24" t="s">
        <v>13</v>
      </c>
      <c r="D11" s="25" t="s">
        <v>20</v>
      </c>
      <c r="E11" s="24" t="s">
        <v>64</v>
      </c>
      <c r="F11" s="24" t="s">
        <v>65</v>
      </c>
    </row>
    <row r="12" customFormat="false" ht="39.75" hidden="false" customHeight="true" outlineLevel="0" collapsed="false">
      <c r="A12" s="26" t="s">
        <v>66</v>
      </c>
      <c r="B12" s="27" t="s">
        <v>67</v>
      </c>
      <c r="C12" s="27" t="s">
        <v>13</v>
      </c>
      <c r="D12" s="25" t="s">
        <v>20</v>
      </c>
      <c r="E12" s="27" t="s">
        <v>68</v>
      </c>
      <c r="F12" s="27" t="s">
        <v>69</v>
      </c>
    </row>
    <row r="13" customFormat="false" ht="39.75" hidden="false" customHeight="true" outlineLevel="0" collapsed="false">
      <c r="A13" s="23" t="s">
        <v>70</v>
      </c>
      <c r="B13" s="24" t="s">
        <v>71</v>
      </c>
      <c r="C13" s="24" t="s">
        <v>13</v>
      </c>
      <c r="D13" s="25" t="s">
        <v>20</v>
      </c>
      <c r="E13" s="24" t="s">
        <v>72</v>
      </c>
      <c r="F13" s="24" t="s">
        <v>69</v>
      </c>
    </row>
    <row r="14" customFormat="false" ht="39.75" hidden="false" customHeight="true" outlineLevel="0" collapsed="false">
      <c r="A14" s="26" t="s">
        <v>73</v>
      </c>
      <c r="B14" s="27" t="s">
        <v>74</v>
      </c>
      <c r="C14" s="27" t="s">
        <v>13</v>
      </c>
      <c r="D14" s="25" t="s">
        <v>20</v>
      </c>
      <c r="E14" s="27" t="s">
        <v>75</v>
      </c>
      <c r="F14" s="27" t="s">
        <v>69</v>
      </c>
    </row>
    <row r="15" customFormat="false" ht="39.75" hidden="false" customHeight="true" outlineLevel="0" collapsed="false">
      <c r="A15" s="23" t="s">
        <v>76</v>
      </c>
      <c r="B15" s="24" t="s">
        <v>77</v>
      </c>
      <c r="C15" s="24" t="s">
        <v>13</v>
      </c>
      <c r="D15" s="25" t="s">
        <v>20</v>
      </c>
      <c r="E15" s="24" t="s">
        <v>78</v>
      </c>
      <c r="F15" s="24" t="s">
        <v>79</v>
      </c>
    </row>
    <row r="16" customFormat="false" ht="39.75" hidden="false" customHeight="true" outlineLevel="0" collapsed="false">
      <c r="A16" s="26" t="s">
        <v>80</v>
      </c>
      <c r="B16" s="27" t="s">
        <v>81</v>
      </c>
      <c r="C16" s="27" t="s">
        <v>13</v>
      </c>
      <c r="D16" s="25" t="s">
        <v>20</v>
      </c>
      <c r="E16" s="27" t="s">
        <v>82</v>
      </c>
      <c r="F16" s="27" t="s">
        <v>83</v>
      </c>
    </row>
    <row r="17" customFormat="false" ht="39.75" hidden="false" customHeight="true" outlineLevel="0" collapsed="false">
      <c r="A17" s="23" t="s">
        <v>84</v>
      </c>
      <c r="B17" s="24" t="s">
        <v>85</v>
      </c>
      <c r="C17" s="24" t="s">
        <v>13</v>
      </c>
      <c r="D17" s="25" t="s">
        <v>20</v>
      </c>
      <c r="E17" s="24" t="s">
        <v>86</v>
      </c>
      <c r="F17" s="24" t="s">
        <v>87</v>
      </c>
    </row>
    <row r="18" customFormat="false" ht="39.75" hidden="false" customHeight="true" outlineLevel="0" collapsed="false">
      <c r="A18" s="26" t="s">
        <v>88</v>
      </c>
      <c r="B18" s="27" t="s">
        <v>89</v>
      </c>
      <c r="C18" s="27" t="s">
        <v>13</v>
      </c>
      <c r="D18" s="25" t="s">
        <v>20</v>
      </c>
      <c r="E18" s="27" t="s">
        <v>90</v>
      </c>
      <c r="F18" s="27" t="s">
        <v>91</v>
      </c>
    </row>
    <row r="19" customFormat="false" ht="39.75" hidden="false" customHeight="true" outlineLevel="0" collapsed="false">
      <c r="A19" s="23" t="s">
        <v>92</v>
      </c>
      <c r="B19" s="24" t="s">
        <v>93</v>
      </c>
      <c r="C19" s="24" t="s">
        <v>14</v>
      </c>
      <c r="D19" s="25" t="s">
        <v>20</v>
      </c>
      <c r="E19" s="24" t="s">
        <v>94</v>
      </c>
      <c r="F19" s="24" t="s">
        <v>95</v>
      </c>
    </row>
    <row r="20" customFormat="false" ht="39.75" hidden="false" customHeight="true" outlineLevel="0" collapsed="false">
      <c r="A20" s="26" t="s">
        <v>96</v>
      </c>
      <c r="B20" s="27" t="s">
        <v>97</v>
      </c>
      <c r="C20" s="27" t="s">
        <v>14</v>
      </c>
      <c r="D20" s="25" t="s">
        <v>20</v>
      </c>
      <c r="E20" s="27" t="s">
        <v>98</v>
      </c>
      <c r="F20" s="27" t="s">
        <v>99</v>
      </c>
    </row>
    <row r="21" customFormat="false" ht="39.75" hidden="false" customHeight="true" outlineLevel="0" collapsed="false">
      <c r="A21" s="23" t="s">
        <v>100</v>
      </c>
      <c r="B21" s="24" t="s">
        <v>101</v>
      </c>
      <c r="C21" s="24" t="s">
        <v>15</v>
      </c>
      <c r="D21" s="25" t="s">
        <v>20</v>
      </c>
      <c r="E21" s="24" t="s">
        <v>102</v>
      </c>
      <c r="F21" s="24" t="s">
        <v>103</v>
      </c>
    </row>
    <row r="22" customFormat="false" ht="39.75" hidden="false" customHeight="true" outlineLevel="0" collapsed="false">
      <c r="A22" s="26" t="s">
        <v>104</v>
      </c>
      <c r="B22" s="27" t="s">
        <v>105</v>
      </c>
      <c r="C22" s="27" t="s">
        <v>15</v>
      </c>
      <c r="D22" s="25" t="s">
        <v>20</v>
      </c>
      <c r="E22" s="27" t="s">
        <v>106</v>
      </c>
      <c r="F22" s="27" t="s">
        <v>107</v>
      </c>
    </row>
    <row r="23" customFormat="false" ht="39.75" hidden="false" customHeight="true" outlineLevel="0" collapsed="false">
      <c r="A23" s="23" t="s">
        <v>108</v>
      </c>
      <c r="B23" s="24" t="s">
        <v>109</v>
      </c>
      <c r="C23" s="24" t="s">
        <v>15</v>
      </c>
      <c r="D23" s="25" t="s">
        <v>20</v>
      </c>
      <c r="E23" s="24" t="s">
        <v>110</v>
      </c>
      <c r="F23" s="24" t="s">
        <v>111</v>
      </c>
    </row>
    <row r="24" customFormat="false" ht="39.75" hidden="false" customHeight="true" outlineLevel="0" collapsed="false">
      <c r="A24" s="26" t="s">
        <v>112</v>
      </c>
      <c r="B24" s="27" t="s">
        <v>113</v>
      </c>
      <c r="C24" s="27" t="s">
        <v>15</v>
      </c>
      <c r="D24" s="28" t="s">
        <v>22</v>
      </c>
      <c r="E24" s="29" t="s">
        <v>114</v>
      </c>
      <c r="F24" s="27" t="s">
        <v>115</v>
      </c>
    </row>
    <row r="25" customFormat="false" ht="39.75" hidden="false" customHeight="true" outlineLevel="0" collapsed="false">
      <c r="A25" s="23" t="s">
        <v>116</v>
      </c>
      <c r="B25" s="24" t="s">
        <v>117</v>
      </c>
      <c r="C25" s="24" t="s">
        <v>16</v>
      </c>
      <c r="D25" s="25" t="s">
        <v>20</v>
      </c>
      <c r="E25" s="24" t="s">
        <v>118</v>
      </c>
      <c r="F25" s="24" t="s">
        <v>119</v>
      </c>
    </row>
    <row r="26" customFormat="false" ht="39.75" hidden="false" customHeight="true" outlineLevel="0" collapsed="false">
      <c r="A26" s="26" t="s">
        <v>120</v>
      </c>
      <c r="B26" s="27" t="s">
        <v>121</v>
      </c>
      <c r="C26" s="27" t="s">
        <v>16</v>
      </c>
      <c r="D26" s="25" t="s">
        <v>20</v>
      </c>
      <c r="E26" s="27" t="s">
        <v>122</v>
      </c>
      <c r="F26" s="27" t="s">
        <v>123</v>
      </c>
    </row>
    <row r="27" customFormat="false" ht="39.75" hidden="false" customHeight="true" outlineLevel="0" collapsed="false">
      <c r="A27" s="23" t="s">
        <v>124</v>
      </c>
      <c r="B27" s="24" t="s">
        <v>125</v>
      </c>
      <c r="C27" s="24" t="s">
        <v>16</v>
      </c>
      <c r="D27" s="25" t="s">
        <v>20</v>
      </c>
      <c r="E27" s="24" t="s">
        <v>126</v>
      </c>
      <c r="F27" s="24" t="s">
        <v>127</v>
      </c>
    </row>
    <row r="28" customFormat="false" ht="39.75" hidden="false" customHeight="true" outlineLevel="0" collapsed="false">
      <c r="A28" s="26" t="s">
        <v>128</v>
      </c>
      <c r="B28" s="27" t="s">
        <v>129</v>
      </c>
      <c r="C28" s="27" t="s">
        <v>16</v>
      </c>
      <c r="D28" s="25" t="s">
        <v>20</v>
      </c>
      <c r="E28" s="27" t="s">
        <v>130</v>
      </c>
      <c r="F28" s="27" t="s">
        <v>131</v>
      </c>
    </row>
    <row r="29" customFormat="false" ht="39.75" hidden="false" customHeight="true" outlineLevel="0" collapsed="false">
      <c r="A29" s="23" t="s">
        <v>132</v>
      </c>
      <c r="B29" s="24" t="s">
        <v>133</v>
      </c>
      <c r="C29" s="24" t="s">
        <v>17</v>
      </c>
      <c r="D29" s="25" t="s">
        <v>20</v>
      </c>
      <c r="E29" s="24" t="s">
        <v>134</v>
      </c>
      <c r="F29" s="24" t="s">
        <v>135</v>
      </c>
    </row>
    <row r="30" customFormat="false" ht="39.75" hidden="false" customHeight="true" outlineLevel="0" collapsed="false">
      <c r="A30" s="26" t="s">
        <v>136</v>
      </c>
      <c r="B30" s="27" t="s">
        <v>137</v>
      </c>
      <c r="C30" s="27" t="s">
        <v>18</v>
      </c>
      <c r="D30" s="25" t="s">
        <v>20</v>
      </c>
      <c r="E30" s="27" t="s">
        <v>138</v>
      </c>
      <c r="F30" s="27" t="s">
        <v>139</v>
      </c>
    </row>
    <row r="31" customFormat="false" ht="39.75" hidden="false" customHeight="true" outlineLevel="0" collapsed="false">
      <c r="A31" s="23" t="s">
        <v>140</v>
      </c>
      <c r="B31" s="24" t="s">
        <v>141</v>
      </c>
      <c r="C31" s="24" t="s">
        <v>18</v>
      </c>
      <c r="D31" s="25" t="s">
        <v>20</v>
      </c>
      <c r="E31" s="24" t="s">
        <v>142</v>
      </c>
      <c r="F31" s="24" t="s">
        <v>143</v>
      </c>
    </row>
    <row r="32" customFormat="false" ht="39.75" hidden="false" customHeight="true" outlineLevel="0" collapsed="false">
      <c r="A32" s="26" t="s">
        <v>144</v>
      </c>
      <c r="B32" s="27" t="s">
        <v>145</v>
      </c>
      <c r="C32" s="27" t="s">
        <v>13</v>
      </c>
      <c r="D32" s="25" t="s">
        <v>20</v>
      </c>
      <c r="E32" s="27" t="s">
        <v>146</v>
      </c>
      <c r="F32" s="27" t="s">
        <v>147</v>
      </c>
    </row>
    <row r="33" customFormat="false" ht="24" hidden="false" customHeight="true" outlineLevel="0" collapsed="false">
      <c r="A33" s="18" t="s">
        <v>148</v>
      </c>
      <c r="B33" s="18" t="n">
        <f aca="false">COUNTA(D3:D32)</f>
        <v>30</v>
      </c>
      <c r="C33" s="18" t="n">
        <f aca="false">COUNTIF(D3:D32,"PASS")</f>
        <v>29</v>
      </c>
      <c r="D33" s="18" t="n">
        <f aca="false">COUNTIF(D3:D32,"FAIL")</f>
        <v>1</v>
      </c>
      <c r="E33" s="30" t="n">
        <f aca="false">C33/B33</f>
        <v>0.966666666666667</v>
      </c>
      <c r="F33" s="1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50"/>
    <col collapsed="false" customWidth="true" hidden="false" outlineLevel="0" max="7" min="7" style="1" width="30"/>
  </cols>
  <sheetData>
    <row r="1" customFormat="false" ht="37.5" hidden="false" customHeight="true" outlineLevel="0" collapsed="false">
      <c r="A1" s="22" t="s">
        <v>149</v>
      </c>
      <c r="B1" s="22"/>
      <c r="C1" s="22"/>
      <c r="D1" s="22"/>
      <c r="E1" s="22"/>
      <c r="F1" s="22"/>
      <c r="G1" s="22"/>
    </row>
    <row r="2" customFormat="false" ht="21.75" hidden="false" customHeight="true" outlineLevel="0" collapsed="false">
      <c r="A2" s="13" t="s">
        <v>25</v>
      </c>
      <c r="B2" s="13" t="s">
        <v>150</v>
      </c>
      <c r="C2" s="13" t="s">
        <v>151</v>
      </c>
      <c r="D2" s="13" t="s">
        <v>152</v>
      </c>
      <c r="E2" s="13" t="s">
        <v>7</v>
      </c>
      <c r="F2" s="13" t="s">
        <v>153</v>
      </c>
      <c r="G2" s="13" t="s">
        <v>154</v>
      </c>
    </row>
    <row r="3" customFormat="false" ht="69.75" hidden="false" customHeight="true" outlineLevel="0" collapsed="false">
      <c r="A3" s="31" t="s">
        <v>112</v>
      </c>
      <c r="B3" s="32" t="s">
        <v>113</v>
      </c>
      <c r="C3" s="21" t="s">
        <v>155</v>
      </c>
      <c r="D3" s="21" t="s">
        <v>155</v>
      </c>
      <c r="E3" s="32" t="s">
        <v>15</v>
      </c>
      <c r="F3" s="32" t="s">
        <v>156</v>
      </c>
      <c r="G3" s="32" t="s">
        <v>157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2026-04-24T18:46:59Z</dcterms:created>
  <dc:creator>openpyxl</dc:creator>
  <dc:description/>
  <dc:language>en-US</dc:language>
  <cp:lastModifiedBy/>
  <dcterms:modified xsi:type="dcterms:W3CDTF">2026-04-24T18:47:20Z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